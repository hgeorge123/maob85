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dad de Desarrollo\George\2023\Terraform\ami-checker\cencosud\"/>
    </mc:Choice>
  </mc:AlternateContent>
  <xr:revisionPtr revIDLastSave="0" documentId="13_ncr:40009_{0601AFD8-A90B-4CC4-A919-7CB3D7A949D0}" xr6:coauthVersionLast="47" xr6:coauthVersionMax="47" xr10:uidLastSave="{00000000-0000-0000-0000-000000000000}"/>
  <bookViews>
    <workbookView xWindow="-120" yWindow="-120" windowWidth="20730" windowHeight="11160"/>
  </bookViews>
  <sheets>
    <sheet name="Registros Control AMI actual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2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</calcChain>
</file>

<file path=xl/sharedStrings.xml><?xml version="1.0" encoding="utf-8"?>
<sst xmlns="http://schemas.openxmlformats.org/spreadsheetml/2006/main" count="361" uniqueCount="151">
  <si>
    <t>account_id</t>
  </si>
  <si>
    <t>solicitado_por</t>
  </si>
  <si>
    <t>ami-0439230e9b9630861</t>
  </si>
  <si>
    <t>["Karlo Muente"]</t>
  </si>
  <si>
    <t>ami-0c6836cb195249f0f</t>
  </si>
  <si>
    <t>["Mathias Velilla"]</t>
  </si>
  <si>
    <t>ami-03873300601e0c306</t>
  </si>
  <si>
    <t>31-06-2025</t>
  </si>
  <si>
    <t>["Marcelo Ferrari"]</t>
  </si>
  <si>
    <t>ami-06f589420c04a694f</t>
  </si>
  <si>
    <t>ami-05587036509eb1633</t>
  </si>
  <si>
    <t>31-11-2023</t>
  </si>
  <si>
    <t>ami-0491fefa59a6481b6</t>
  </si>
  <si>
    <t>ami-0d59c5b17e7589041</t>
  </si>
  <si>
    <t>ami-084d28076c67a25da</t>
  </si>
  <si>
    <t>31-11-2026</t>
  </si>
  <si>
    <t>["Operaciones"]</t>
  </si>
  <si>
    <t>ami-073c509a30ffe8eaa</t>
  </si>
  <si>
    <t>["David Arangua"]</t>
  </si>
  <si>
    <t>ami-08283c4bff3e0c5c4</t>
  </si>
  <si>
    <t>ami-0725478ce8e822866</t>
  </si>
  <si>
    <t>ami-05fa00d4c63e32376</t>
  </si>
  <si>
    <t>ami-06cdd69ad2fe9e092</t>
  </si>
  <si>
    <t>ami-02cf5dc8be5489b63</t>
  </si>
  <si>
    <t>["Mattos Marambio, Jorge Antonio"]</t>
  </si>
  <si>
    <t>ami-01ef0e642cc9a879f</t>
  </si>
  <si>
    <t>ami-04ca506a7c77457bd</t>
  </si>
  <si>
    <t>ami-010abeaec772e9579</t>
  </si>
  <si>
    <t>["Eduardo Bascunan"]</t>
  </si>
  <si>
    <t>ami-09bd5c84c20e9fa81</t>
  </si>
  <si>
    <t>ami-029211fb359880578</t>
  </si>
  <si>
    <t>ami-0711f3c7efd0bf7e4</t>
  </si>
  <si>
    <t>ami-085bec35ca114ef7f</t>
  </si>
  <si>
    <t>ami-043117317aee46e4e</t>
  </si>
  <si>
    <t>ami-0179bb47eef6f6eca</t>
  </si>
  <si>
    <t>ami-08abc52bef6ae952f</t>
  </si>
  <si>
    <t>ami-0c831944974e8124c</t>
  </si>
  <si>
    <t>ami-0fe8f522b3ab60e38</t>
  </si>
  <si>
    <t>["Erick Segura"]</t>
  </si>
  <si>
    <t>ami-0c6b1d09930fac512</t>
  </si>
  <si>
    <t>ami-0b1602e0ac447d474</t>
  </si>
  <si>
    <t>["Maryuris Torres"]</t>
  </si>
  <si>
    <t>ami-049c4b3b6fa5b7cb8</t>
  </si>
  <si>
    <t>ami-0cd2ac418ff0f1cd5</t>
  </si>
  <si>
    <t>ami-020254af3cf92806a</t>
  </si>
  <si>
    <t>ami-0a30b5b2bb62351ee</t>
  </si>
  <si>
    <t>ami-0322bb0706e412ee1</t>
  </si>
  <si>
    <t>ami-00e4bb7eec56a9b03</t>
  </si>
  <si>
    <t>["Jesica Kauffmann"]</t>
  </si>
  <si>
    <t>ami-0ba630a53c34218bf</t>
  </si>
  <si>
    <t>["Cristopher Herrera"]</t>
  </si>
  <si>
    <t>ami-06882ac4cae70ecb7</t>
  </si>
  <si>
    <t>["Daniel Pereye"]</t>
  </si>
  <si>
    <t>ami-094af4e4691f44b80</t>
  </si>
  <si>
    <t>ami-06ea7729e394412c8</t>
  </si>
  <si>
    <t>ami-036b686b6a5b81b6a</t>
  </si>
  <si>
    <t>ami-0767f1fe1d85e096f</t>
  </si>
  <si>
    <t>ami-07b8588c2bd1b0f7f</t>
  </si>
  <si>
    <t>ami-0e20301660e2ef668</t>
  </si>
  <si>
    <t>["Brian Alderete"]</t>
  </si>
  <si>
    <t>ami-0d6f11cb8c663fd9f</t>
  </si>
  <si>
    <t>["Guillermo Cabrera"]</t>
  </si>
  <si>
    <t>ami-066643102082583ac</t>
  </si>
  <si>
    <t>ami-0942f674449a23f2d</t>
  </si>
  <si>
    <t>ami-0b65cafb112e8cc64</t>
  </si>
  <si>
    <t>ami-03616ca8505e3253b</t>
  </si>
  <si>
    <t>ami-0b235dc28bcf460e9</t>
  </si>
  <si>
    <t>ami-0f4c7fdce8c377271</t>
  </si>
  <si>
    <t>ami-05acb4959a4fc514d</t>
  </si>
  <si>
    <t>["Ezio Tobioli"]</t>
  </si>
  <si>
    <t>ami-0d43d36292c5d6803</t>
  </si>
  <si>
    <t>ami-0a8bd732fb0644d51</t>
  </si>
  <si>
    <t>ami-0e5b8e672547b913e</t>
  </si>
  <si>
    <t>ami-01a0784e31840e8aa</t>
  </si>
  <si>
    <t>ami-00e88aff4669ce897</t>
  </si>
  <si>
    <t>ami-0f761966eb7f1d8c6</t>
  </si>
  <si>
    <t>ami-0022f774911c1d690</t>
  </si>
  <si>
    <t>ami-0c26614b7f9d0402c</t>
  </si>
  <si>
    <t>["Lucas Sottil"]</t>
  </si>
  <si>
    <t>ami-0140c344ea05bbd7a</t>
  </si>
  <si>
    <t>ami-0a45c8b16782f3406</t>
  </si>
  <si>
    <t>ami-0daacb9ad6e15b6da</t>
  </si>
  <si>
    <t>ami-000a89ca6a9025326</t>
  </si>
  <si>
    <t>ami-0ce7a9f8b0bc70964</t>
  </si>
  <si>
    <t>["Jorge Lopez"]</t>
  </si>
  <si>
    <t>ami-00f5a285286e28f6b</t>
  </si>
  <si>
    <t>ami-0e561b612cf7ef667</t>
  </si>
  <si>
    <t>ami-0c0f1a2cf4f29f074</t>
  </si>
  <si>
    <t>ami-0db8cf80e731b18b6</t>
  </si>
  <si>
    <t>ami-0b166cfc91898a5d8</t>
  </si>
  <si>
    <t>ami-01331b027e7cb096d</t>
  </si>
  <si>
    <t>ami-024ec52d55b0b6ed3</t>
  </si>
  <si>
    <t>ami-00191a0c8c6e354ca</t>
  </si>
  <si>
    <t>ami-01adddebea11fde48</t>
  </si>
  <si>
    <t>["Erick Castro"]</t>
  </si>
  <si>
    <t>ami-0c3fdd8fc2489df20</t>
  </si>
  <si>
    <t>allow_type</t>
  </si>
  <si>
    <t>ami_id / allow_value</t>
  </si>
  <si>
    <t>valid_to</t>
  </si>
  <si>
    <t>AMI_ID_ON_ACCOUNT</t>
  </si>
  <si>
    <t>AMI_ID</t>
  </si>
  <si>
    <t>ami-0277155c3f0ab2930</t>
  </si>
  <si>
    <t>ami-053dd242e624a94df</t>
  </si>
  <si>
    <t>ami-0f254779aa527b26a</t>
  </si>
  <si>
    <t>ami-0080755d0dbfe6cc0</t>
  </si>
  <si>
    <t>ami-0455b890935eb8e07</t>
  </si>
  <si>
    <t>ami-0d31c3b08c4f591b6</t>
  </si>
  <si>
    <t>ami-07da26e39622a03dc</t>
  </si>
  <si>
    <t>ami-098616968d61e549e</t>
  </si>
  <si>
    <t>ami-0f06fc190dd71269e</t>
  </si>
  <si>
    <t>ami-06f8bb8d389c13987</t>
  </si>
  <si>
    <t>["Esteban Avendaño"]</t>
  </si>
  <si>
    <t>AwsBackup_</t>
  </si>
  <si>
    <t>Cencosud_oficial_</t>
  </si>
  <si>
    <t>amazon-eks-node-1.2</t>
  </si>
  <si>
    <t>bottlerocket-aws-k8s-1.25</t>
  </si>
  <si>
    <t>bottlerocket-aws-k8s-1.26</t>
  </si>
  <si>
    <t>bottlerocket-aws-k8s-1.27</t>
  </si>
  <si>
    <t>bottlerocket-aws-k8s-1</t>
  </si>
  <si>
    <t>PREFIX</t>
  </si>
  <si>
    <t>AWSApplicationMigrationServiceManaged</t>
  </si>
  <si>
    <t>aws:elasticmapreduce:job-flow-id</t>
  </si>
  <si>
    <t>elasticbeanstalk:environment-id</t>
  </si>
  <si>
    <t>aws:ec2launchtemplate:version</t>
  </si>
  <si>
    <t>aws:cloud9:environment</t>
  </si>
  <si>
    <t>TAG</t>
  </si>
  <si>
    <t>imagebuilder-role-adm</t>
  </si>
  <si>
    <t>AWSElasticDisasterRecoveryConversionServerRole</t>
  </si>
  <si>
    <t>AWSElasticDisasterRecoveryReplicationServerRole</t>
  </si>
  <si>
    <t>ROLE</t>
  </si>
  <si>
    <t>31-12-2023</t>
  </si>
  <si>
    <t>31-10-2023</t>
  </si>
  <si>
    <t>24-08-2023</t>
  </si>
  <si>
    <t>31-01-2024</t>
  </si>
  <si>
    <t>31-10-2025</t>
  </si>
  <si>
    <t>29-02-2024</t>
  </si>
  <si>
    <t>10-11-2023</t>
  </si>
  <si>
    <t>31-12-2027</t>
  </si>
  <si>
    <t>31-12-2025</t>
  </si>
  <si>
    <t>31-12-2024</t>
  </si>
  <si>
    <t>08-10-2023</t>
  </si>
  <si>
    <t>18-03-2025</t>
  </si>
  <si>
    <t>20-06-2027</t>
  </si>
  <si>
    <t>28-02-2024</t>
  </si>
  <si>
    <t>30-11-2023</t>
  </si>
  <si>
    <t>31-03-2024</t>
  </si>
  <si>
    <t>31-05-2025</t>
  </si>
  <si>
    <t>78846019676, 617144884587</t>
  </si>
  <si>
    <t>568635850695, 896992476122</t>
  </si>
  <si>
    <t>266556556605, 529561489360</t>
  </si>
  <si>
    <t>181398079618, 320856153816, 733585311476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</si>
</sst>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tabSelected="1" workbookViewId="0">
      <selection activeCell="E15" sqref="E15"/>
    </sheetView>
  </sheetViews>
  <sheetFormatPr baseColWidth="10" defaultRowHeight="15" x14ac:dyDescent="0.25"/>
  <cols>
    <col min="2" max="2" width="23.140625" bestFit="1" customWidth="1"/>
    <col min="3" max="3" width="35.28515625" style="2" customWidth="1"/>
    <col min="6" max="6" width="29.7109375" customWidth="1"/>
  </cols>
  <sheetData>
    <row r="1" spans="1:7" x14ac:dyDescent="0.25">
      <c r="A1" t="s">
        <v>96</v>
      </c>
      <c r="B1" t="s">
        <v>97</v>
      </c>
      <c r="C1" s="2" t="s">
        <v>0</v>
      </c>
      <c r="D1" t="s">
        <v>98</v>
      </c>
      <c r="E1" t="s">
        <v>1</v>
      </c>
    </row>
    <row r="2" spans="1:7" x14ac:dyDescent="0.25">
      <c r="A2" t="s">
        <v>99</v>
      </c>
      <c r="B2" t="s">
        <v>2</v>
      </c>
      <c r="C2" s="2" t="s">
        <v>147</v>
      </c>
      <c r="D2" s="1" t="s">
        <v>130</v>
      </c>
      <c r="E2" t="s">
        <v>3</v>
      </c>
      <c r="G2" t="str">
        <f>CONCATENATE("{'allow_type': '", A2, "', 'allow_value': '", B2,"', 'account_id': '", C2,"', 'valid_to': '",D2, "', 'solicitado_por': set(", E2, ")}, ")</f>
        <v xml:space="preserve">{'allow_type': 'AMI_ID_ON_ACCOUNT', 'allow_value': 'ami-0439230e9b9630861', 'account_id': '78846019676, 617144884587', 'valid_to': '31-12-2023', 'solicitado_por': set(["Karlo Muente"])}, </v>
      </c>
    </row>
    <row r="3" spans="1:7" x14ac:dyDescent="0.25">
      <c r="A3" t="s">
        <v>99</v>
      </c>
      <c r="B3" t="s">
        <v>4</v>
      </c>
      <c r="C3" s="2">
        <v>817860761669</v>
      </c>
      <c r="D3" s="1" t="s">
        <v>130</v>
      </c>
      <c r="E3" t="s">
        <v>5</v>
      </c>
      <c r="G3" t="str">
        <f t="shared" ref="G3:G66" si="0">CONCATENATE("{'allow_type': '", A3, "', 'allow_value': '", B3,"', 'account_id': '", C3,"', 'valid_to': '",D3, "', 'solicitado_por': set(", E3, ")}, ")</f>
        <v xml:space="preserve">{'allow_type': 'AMI_ID_ON_ACCOUNT', 'allow_value': 'ami-0c6836cb195249f0f', 'account_id': '817860761669', 'valid_to': '31-12-2023', 'solicitado_por': set(["Mathias Velilla"])}, </v>
      </c>
    </row>
    <row r="4" spans="1:7" x14ac:dyDescent="0.25">
      <c r="A4" t="s">
        <v>99</v>
      </c>
      <c r="B4" t="s">
        <v>6</v>
      </c>
      <c r="C4" s="2">
        <v>257946566499</v>
      </c>
      <c r="D4" t="s">
        <v>7</v>
      </c>
      <c r="E4" t="s">
        <v>8</v>
      </c>
      <c r="G4" t="str">
        <f t="shared" si="0"/>
        <v xml:space="preserve">{'allow_type': 'AMI_ID_ON_ACCOUNT', 'allow_value': 'ami-03873300601e0c306', 'account_id': '257946566499', 'valid_to': '31-06-2025', 'solicitado_por': set(["Marcelo Ferrari"])}, </v>
      </c>
    </row>
    <row r="5" spans="1:7" x14ac:dyDescent="0.25">
      <c r="A5" t="s">
        <v>99</v>
      </c>
      <c r="B5" t="s">
        <v>9</v>
      </c>
      <c r="C5" s="2">
        <v>568635850695</v>
      </c>
      <c r="D5" s="1" t="s">
        <v>131</v>
      </c>
      <c r="E5" t="s">
        <v>111</v>
      </c>
      <c r="G5" t="str">
        <f t="shared" si="0"/>
        <v xml:space="preserve">{'allow_type': 'AMI_ID_ON_ACCOUNT', 'allow_value': 'ami-06f589420c04a694f', 'account_id': '568635850695', 'valid_to': '31-10-2023', 'solicitado_por': set(["Esteban Avendaño"])}, </v>
      </c>
    </row>
    <row r="6" spans="1:7" x14ac:dyDescent="0.25">
      <c r="A6" t="s">
        <v>99</v>
      </c>
      <c r="B6" t="s">
        <v>10</v>
      </c>
      <c r="C6" s="2">
        <v>896992476122</v>
      </c>
      <c r="D6" t="s">
        <v>11</v>
      </c>
      <c r="E6" t="s">
        <v>111</v>
      </c>
      <c r="G6" t="str">
        <f t="shared" si="0"/>
        <v xml:space="preserve">{'allow_type': 'AMI_ID_ON_ACCOUNT', 'allow_value': 'ami-05587036509eb1633', 'account_id': '896992476122', 'valid_to': '31-11-2023', 'solicitado_por': set(["Esteban Avendaño"])}, </v>
      </c>
    </row>
    <row r="7" spans="1:7" x14ac:dyDescent="0.25">
      <c r="A7" t="s">
        <v>99</v>
      </c>
      <c r="B7" t="s">
        <v>12</v>
      </c>
      <c r="C7" s="2">
        <v>568635850695</v>
      </c>
      <c r="D7" s="1" t="s">
        <v>131</v>
      </c>
      <c r="E7" t="s">
        <v>111</v>
      </c>
      <c r="G7" t="str">
        <f t="shared" si="0"/>
        <v xml:space="preserve">{'allow_type': 'AMI_ID_ON_ACCOUNT', 'allow_value': 'ami-0491fefa59a6481b6', 'account_id': '568635850695', 'valid_to': '31-10-2023', 'solicitado_por': set(["Esteban Avendaño"])}, </v>
      </c>
    </row>
    <row r="8" spans="1:7" x14ac:dyDescent="0.25">
      <c r="A8" t="s">
        <v>99</v>
      </c>
      <c r="B8" t="s">
        <v>13</v>
      </c>
      <c r="C8" s="2">
        <v>568635850695</v>
      </c>
      <c r="D8" s="1" t="s">
        <v>131</v>
      </c>
      <c r="E8" t="s">
        <v>111</v>
      </c>
      <c r="G8" t="str">
        <f t="shared" si="0"/>
        <v xml:space="preserve">{'allow_type': 'AMI_ID_ON_ACCOUNT', 'allow_value': 'ami-0d59c5b17e7589041', 'account_id': '568635850695', 'valid_to': '31-10-2023', 'solicitado_por': set(["Esteban Avendaño"])}, </v>
      </c>
    </row>
    <row r="9" spans="1:7" x14ac:dyDescent="0.25">
      <c r="A9" t="s">
        <v>99</v>
      </c>
      <c r="B9" t="s">
        <v>14</v>
      </c>
      <c r="C9" s="2">
        <v>827114523179</v>
      </c>
      <c r="D9" t="s">
        <v>15</v>
      </c>
      <c r="E9" t="s">
        <v>16</v>
      </c>
      <c r="G9" t="str">
        <f t="shared" si="0"/>
        <v xml:space="preserve">{'allow_type': 'AMI_ID_ON_ACCOUNT', 'allow_value': 'ami-084d28076c67a25da', 'account_id': '827114523179', 'valid_to': '31-11-2026', 'solicitado_por': set(["Operaciones"])}, </v>
      </c>
    </row>
    <row r="10" spans="1:7" x14ac:dyDescent="0.25">
      <c r="A10" t="s">
        <v>99</v>
      </c>
      <c r="B10" t="s">
        <v>17</v>
      </c>
      <c r="C10" s="2">
        <v>306591703355</v>
      </c>
      <c r="D10" s="1" t="s">
        <v>132</v>
      </c>
      <c r="E10" t="s">
        <v>18</v>
      </c>
      <c r="G10" t="str">
        <f t="shared" si="0"/>
        <v xml:space="preserve">{'allow_type': 'AMI_ID_ON_ACCOUNT', 'allow_value': 'ami-073c509a30ffe8eaa', 'account_id': '306591703355', 'valid_to': '24-08-2023', 'solicitado_por': set(["David Arangua"])}, </v>
      </c>
    </row>
    <row r="11" spans="1:7" x14ac:dyDescent="0.25">
      <c r="A11" t="s">
        <v>99</v>
      </c>
      <c r="B11" t="s">
        <v>19</v>
      </c>
      <c r="C11" s="2">
        <v>896992476122</v>
      </c>
      <c r="D11" s="1" t="s">
        <v>131</v>
      </c>
      <c r="E11" t="s">
        <v>111</v>
      </c>
      <c r="G11" t="str">
        <f t="shared" si="0"/>
        <v xml:space="preserve">{'allow_type': 'AMI_ID_ON_ACCOUNT', 'allow_value': 'ami-08283c4bff3e0c5c4', 'account_id': '896992476122', 'valid_to': '31-10-2023', 'solicitado_por': set(["Esteban Avendaño"])}, </v>
      </c>
    </row>
    <row r="12" spans="1:7" x14ac:dyDescent="0.25">
      <c r="A12" t="s">
        <v>99</v>
      </c>
      <c r="B12" t="s">
        <v>20</v>
      </c>
      <c r="C12" s="2">
        <v>827114523179</v>
      </c>
      <c r="D12" t="s">
        <v>15</v>
      </c>
      <c r="E12" t="s">
        <v>16</v>
      </c>
      <c r="G12" t="str">
        <f t="shared" si="0"/>
        <v xml:space="preserve">{'allow_type': 'AMI_ID_ON_ACCOUNT', 'allow_value': 'ami-0725478ce8e822866', 'account_id': '827114523179', 'valid_to': '31-11-2026', 'solicitado_por': set(["Operaciones"])}, </v>
      </c>
    </row>
    <row r="13" spans="1:7" x14ac:dyDescent="0.25">
      <c r="A13" t="s">
        <v>99</v>
      </c>
      <c r="B13" t="s">
        <v>21</v>
      </c>
      <c r="C13" s="2">
        <v>568635850695</v>
      </c>
      <c r="D13" s="1" t="s">
        <v>131</v>
      </c>
      <c r="E13" t="s">
        <v>111</v>
      </c>
      <c r="G13" t="str">
        <f t="shared" si="0"/>
        <v xml:space="preserve">{'allow_type': 'AMI_ID_ON_ACCOUNT', 'allow_value': 'ami-05fa00d4c63e32376', 'account_id': '568635850695', 'valid_to': '31-10-2023', 'solicitado_por': set(["Esteban Avendaño"])}, </v>
      </c>
    </row>
    <row r="14" spans="1:7" x14ac:dyDescent="0.25">
      <c r="A14" t="s">
        <v>99</v>
      </c>
      <c r="B14" t="s">
        <v>22</v>
      </c>
      <c r="C14" s="2" t="s">
        <v>148</v>
      </c>
      <c r="D14" s="1" t="s">
        <v>131</v>
      </c>
      <c r="E14" t="s">
        <v>111</v>
      </c>
      <c r="G14" t="str">
        <f t="shared" si="0"/>
        <v xml:space="preserve">{'allow_type': 'AMI_ID_ON_ACCOUNT', 'allow_value': 'ami-06cdd69ad2fe9e092', 'account_id': '568635850695, 896992476122', 'valid_to': '31-10-2023', 'solicitado_por': set(["Esteban Avendaño"])}, </v>
      </c>
    </row>
    <row r="15" spans="1:7" x14ac:dyDescent="0.25">
      <c r="A15" t="s">
        <v>99</v>
      </c>
      <c r="B15" t="s">
        <v>23</v>
      </c>
      <c r="C15" s="2">
        <v>56638367748</v>
      </c>
      <c r="D15" s="1" t="s">
        <v>133</v>
      </c>
      <c r="E15" t="s">
        <v>24</v>
      </c>
      <c r="G15" t="str">
        <f t="shared" si="0"/>
        <v xml:space="preserve">{'allow_type': 'AMI_ID_ON_ACCOUNT', 'allow_value': 'ami-02cf5dc8be5489b63', 'account_id': '56638367748', 'valid_to': '31-01-2024', 'solicitado_por': set(["Mattos Marambio, Jorge Antonio"])}, </v>
      </c>
    </row>
    <row r="16" spans="1:7" x14ac:dyDescent="0.25">
      <c r="A16" t="s">
        <v>99</v>
      </c>
      <c r="B16" t="s">
        <v>25</v>
      </c>
      <c r="C16" s="2" t="s">
        <v>147</v>
      </c>
      <c r="D16" s="1" t="s">
        <v>130</v>
      </c>
      <c r="E16" t="s">
        <v>3</v>
      </c>
      <c r="G16" t="str">
        <f t="shared" si="0"/>
        <v xml:space="preserve">{'allow_type': 'AMI_ID_ON_ACCOUNT', 'allow_value': 'ami-01ef0e642cc9a879f', 'account_id': '78846019676, 617144884587', 'valid_to': '31-12-2023', 'solicitado_por': set(["Karlo Muente"])}, </v>
      </c>
    </row>
    <row r="17" spans="1:7" x14ac:dyDescent="0.25">
      <c r="A17" t="s">
        <v>99</v>
      </c>
      <c r="B17" t="s">
        <v>26</v>
      </c>
      <c r="C17" s="2">
        <v>568635850695</v>
      </c>
      <c r="D17" s="1" t="s">
        <v>131</v>
      </c>
      <c r="E17" t="s">
        <v>111</v>
      </c>
      <c r="G17" t="str">
        <f t="shared" si="0"/>
        <v xml:space="preserve">{'allow_type': 'AMI_ID_ON_ACCOUNT', 'allow_value': 'ami-04ca506a7c77457bd', 'account_id': '568635850695', 'valid_to': '31-10-2023', 'solicitado_por': set(["Esteban Avendaño"])}, </v>
      </c>
    </row>
    <row r="18" spans="1:7" x14ac:dyDescent="0.25">
      <c r="A18" t="s">
        <v>99</v>
      </c>
      <c r="B18" t="s">
        <v>27</v>
      </c>
      <c r="C18" s="2">
        <v>733585311476</v>
      </c>
      <c r="D18" s="1" t="s">
        <v>134</v>
      </c>
      <c r="E18" t="s">
        <v>28</v>
      </c>
      <c r="G18" t="str">
        <f t="shared" si="0"/>
        <v xml:space="preserve">{'allow_type': 'AMI_ID_ON_ACCOUNT', 'allow_value': 'ami-010abeaec772e9579', 'account_id': '733585311476', 'valid_to': '31-10-2025', 'solicitado_por': set(["Eduardo Bascunan"])}, </v>
      </c>
    </row>
    <row r="19" spans="1:7" x14ac:dyDescent="0.25">
      <c r="A19" t="s">
        <v>99</v>
      </c>
      <c r="B19" t="s">
        <v>29</v>
      </c>
      <c r="C19" s="2">
        <v>896992476122</v>
      </c>
      <c r="D19" s="1" t="s">
        <v>131</v>
      </c>
      <c r="E19" t="s">
        <v>111</v>
      </c>
      <c r="G19" t="str">
        <f t="shared" si="0"/>
        <v xml:space="preserve">{'allow_type': 'AMI_ID_ON_ACCOUNT', 'allow_value': 'ami-09bd5c84c20e9fa81', 'account_id': '896992476122', 'valid_to': '31-10-2023', 'solicitado_por': set(["Esteban Avendaño"])}, </v>
      </c>
    </row>
    <row r="20" spans="1:7" x14ac:dyDescent="0.25">
      <c r="A20" t="s">
        <v>99</v>
      </c>
      <c r="B20" t="s">
        <v>30</v>
      </c>
      <c r="C20" s="2">
        <v>896992476122</v>
      </c>
      <c r="D20" s="1" t="s">
        <v>131</v>
      </c>
      <c r="E20" t="s">
        <v>111</v>
      </c>
      <c r="G20" t="str">
        <f t="shared" si="0"/>
        <v xml:space="preserve">{'allow_type': 'AMI_ID_ON_ACCOUNT', 'allow_value': 'ami-029211fb359880578', 'account_id': '896992476122', 'valid_to': '31-10-2023', 'solicitado_por': set(["Esteban Avendaño"])}, </v>
      </c>
    </row>
    <row r="21" spans="1:7" x14ac:dyDescent="0.25">
      <c r="A21" t="s">
        <v>99</v>
      </c>
      <c r="B21" t="s">
        <v>31</v>
      </c>
      <c r="C21" s="2" t="s">
        <v>147</v>
      </c>
      <c r="D21" s="1" t="s">
        <v>130</v>
      </c>
      <c r="E21" t="s">
        <v>3</v>
      </c>
      <c r="G21" t="str">
        <f t="shared" si="0"/>
        <v xml:space="preserve">{'allow_type': 'AMI_ID_ON_ACCOUNT', 'allow_value': 'ami-0711f3c7efd0bf7e4', 'account_id': '78846019676, 617144884587', 'valid_to': '31-12-2023', 'solicitado_por': set(["Karlo Muente"])}, </v>
      </c>
    </row>
    <row r="22" spans="1:7" x14ac:dyDescent="0.25">
      <c r="A22" t="s">
        <v>99</v>
      </c>
      <c r="B22" t="s">
        <v>32</v>
      </c>
      <c r="C22" s="2" t="s">
        <v>147</v>
      </c>
      <c r="D22" s="1" t="s">
        <v>135</v>
      </c>
      <c r="E22" t="s">
        <v>3</v>
      </c>
      <c r="G22" t="str">
        <f t="shared" si="0"/>
        <v xml:space="preserve">{'allow_type': 'AMI_ID_ON_ACCOUNT', 'allow_value': 'ami-085bec35ca114ef7f', 'account_id': '78846019676, 617144884587', 'valid_to': '29-02-2024', 'solicitado_por': set(["Karlo Muente"])}, </v>
      </c>
    </row>
    <row r="23" spans="1:7" x14ac:dyDescent="0.25">
      <c r="A23" t="s">
        <v>99</v>
      </c>
      <c r="B23" t="s">
        <v>33</v>
      </c>
      <c r="C23" s="2">
        <v>896992476122</v>
      </c>
      <c r="D23" s="1" t="s">
        <v>131</v>
      </c>
      <c r="E23" t="s">
        <v>111</v>
      </c>
      <c r="G23" t="str">
        <f t="shared" si="0"/>
        <v xml:space="preserve">{'allow_type': 'AMI_ID_ON_ACCOUNT', 'allow_value': 'ami-043117317aee46e4e', 'account_id': '896992476122', 'valid_to': '31-10-2023', 'solicitado_por': set(["Esteban Avendaño"])}, </v>
      </c>
    </row>
    <row r="24" spans="1:7" x14ac:dyDescent="0.25">
      <c r="A24" t="s">
        <v>99</v>
      </c>
      <c r="B24" t="s">
        <v>34</v>
      </c>
      <c r="C24" s="2">
        <v>896992476122</v>
      </c>
      <c r="D24" s="1" t="s">
        <v>131</v>
      </c>
      <c r="E24" t="s">
        <v>111</v>
      </c>
      <c r="G24" t="str">
        <f t="shared" si="0"/>
        <v xml:space="preserve">{'allow_type': 'AMI_ID_ON_ACCOUNT', 'allow_value': 'ami-0179bb47eef6f6eca', 'account_id': '896992476122', 'valid_to': '31-10-2023', 'solicitado_por': set(["Esteban Avendaño"])}, </v>
      </c>
    </row>
    <row r="25" spans="1:7" x14ac:dyDescent="0.25">
      <c r="A25" t="s">
        <v>99</v>
      </c>
      <c r="B25" t="s">
        <v>35</v>
      </c>
      <c r="C25" s="2">
        <v>568635850695</v>
      </c>
      <c r="D25" s="1" t="s">
        <v>136</v>
      </c>
      <c r="E25" t="s">
        <v>111</v>
      </c>
      <c r="G25" t="str">
        <f t="shared" si="0"/>
        <v xml:space="preserve">{'allow_type': 'AMI_ID_ON_ACCOUNT', 'allow_value': 'ami-08abc52bef6ae952f', 'account_id': '568635850695', 'valid_to': '10-11-2023', 'solicitado_por': set(["Esteban Avendaño"])}, </v>
      </c>
    </row>
    <row r="26" spans="1:7" x14ac:dyDescent="0.25">
      <c r="A26" t="s">
        <v>99</v>
      </c>
      <c r="B26" t="s">
        <v>36</v>
      </c>
      <c r="C26" s="2">
        <v>827114523179</v>
      </c>
      <c r="D26" s="1" t="s">
        <v>137</v>
      </c>
      <c r="E26" t="s">
        <v>8</v>
      </c>
      <c r="G26" t="str">
        <f t="shared" si="0"/>
        <v xml:space="preserve">{'allow_type': 'AMI_ID_ON_ACCOUNT', 'allow_value': 'ami-0c831944974e8124c', 'account_id': '827114523179', 'valid_to': '31-12-2027', 'solicitado_por': set(["Marcelo Ferrari"])}, </v>
      </c>
    </row>
    <row r="27" spans="1:7" x14ac:dyDescent="0.25">
      <c r="A27" t="s">
        <v>99</v>
      </c>
      <c r="B27" t="s">
        <v>37</v>
      </c>
      <c r="C27" s="2">
        <v>132752437010</v>
      </c>
      <c r="D27" s="1" t="s">
        <v>130</v>
      </c>
      <c r="E27" t="s">
        <v>38</v>
      </c>
      <c r="G27" t="str">
        <f t="shared" si="0"/>
        <v xml:space="preserve">{'allow_type': 'AMI_ID_ON_ACCOUNT', 'allow_value': 'ami-0fe8f522b3ab60e38', 'account_id': '132752437010', 'valid_to': '31-12-2023', 'solicitado_por': set(["Erick Segura"])}, </v>
      </c>
    </row>
    <row r="28" spans="1:7" x14ac:dyDescent="0.25">
      <c r="A28" t="s">
        <v>99</v>
      </c>
      <c r="B28" t="s">
        <v>39</v>
      </c>
      <c r="C28" s="2">
        <v>896992476122</v>
      </c>
      <c r="D28" s="1" t="s">
        <v>131</v>
      </c>
      <c r="E28" t="s">
        <v>111</v>
      </c>
      <c r="G28" t="str">
        <f t="shared" si="0"/>
        <v xml:space="preserve">{'allow_type': 'AMI_ID_ON_ACCOUNT', 'allow_value': 'ami-0c6b1d09930fac512', 'account_id': '896992476122', 'valid_to': '31-10-2023', 'solicitado_por': set(["Esteban Avendaño"])}, </v>
      </c>
    </row>
    <row r="29" spans="1:7" x14ac:dyDescent="0.25">
      <c r="A29" t="s">
        <v>99</v>
      </c>
      <c r="B29" t="s">
        <v>40</v>
      </c>
      <c r="C29" s="2">
        <v>733585311476</v>
      </c>
      <c r="D29" s="1" t="s">
        <v>138</v>
      </c>
      <c r="E29" t="s">
        <v>41</v>
      </c>
      <c r="G29" t="str">
        <f t="shared" si="0"/>
        <v xml:space="preserve">{'allow_type': 'AMI_ID_ON_ACCOUNT', 'allow_value': 'ami-0b1602e0ac447d474', 'account_id': '733585311476', 'valid_to': '31-12-2025', 'solicitado_por': set(["Maryuris Torres"])}, </v>
      </c>
    </row>
    <row r="30" spans="1:7" x14ac:dyDescent="0.25">
      <c r="A30" t="s">
        <v>99</v>
      </c>
      <c r="B30" t="s">
        <v>42</v>
      </c>
      <c r="C30" s="2" t="s">
        <v>147</v>
      </c>
      <c r="D30" s="1" t="s">
        <v>130</v>
      </c>
      <c r="E30" t="s">
        <v>3</v>
      </c>
      <c r="G30" t="str">
        <f t="shared" si="0"/>
        <v xml:space="preserve">{'allow_type': 'AMI_ID_ON_ACCOUNT', 'allow_value': 'ami-049c4b3b6fa5b7cb8', 'account_id': '78846019676, 617144884587', 'valid_to': '31-12-2023', 'solicitado_por': set(["Karlo Muente"])}, </v>
      </c>
    </row>
    <row r="31" spans="1:7" x14ac:dyDescent="0.25">
      <c r="A31" t="s">
        <v>99</v>
      </c>
      <c r="B31" t="s">
        <v>43</v>
      </c>
      <c r="C31" s="2" t="s">
        <v>147</v>
      </c>
      <c r="D31" s="1" t="s">
        <v>130</v>
      </c>
      <c r="E31" t="s">
        <v>3</v>
      </c>
      <c r="G31" t="str">
        <f t="shared" si="0"/>
        <v xml:space="preserve">{'allow_type': 'AMI_ID_ON_ACCOUNT', 'allow_value': 'ami-0cd2ac418ff0f1cd5', 'account_id': '78846019676, 617144884587', 'valid_to': '31-12-2023', 'solicitado_por': set(["Karlo Muente"])}, </v>
      </c>
    </row>
    <row r="32" spans="1:7" x14ac:dyDescent="0.25">
      <c r="A32" t="s">
        <v>99</v>
      </c>
      <c r="B32" t="s">
        <v>44</v>
      </c>
      <c r="C32" s="2">
        <v>617144884587</v>
      </c>
      <c r="D32" s="1" t="s">
        <v>130</v>
      </c>
      <c r="E32" t="s">
        <v>3</v>
      </c>
      <c r="G32" t="str">
        <f t="shared" si="0"/>
        <v xml:space="preserve">{'allow_type': 'AMI_ID_ON_ACCOUNT', 'allow_value': 'ami-020254af3cf92806a', 'account_id': '617144884587', 'valid_to': '31-12-2023', 'solicitado_por': set(["Karlo Muente"])}, </v>
      </c>
    </row>
    <row r="33" spans="1:7" x14ac:dyDescent="0.25">
      <c r="A33" t="s">
        <v>99</v>
      </c>
      <c r="B33" t="s">
        <v>45</v>
      </c>
      <c r="C33" s="2">
        <v>617144884587</v>
      </c>
      <c r="D33" s="1" t="s">
        <v>130</v>
      </c>
      <c r="E33" t="s">
        <v>3</v>
      </c>
      <c r="G33" t="str">
        <f t="shared" si="0"/>
        <v xml:space="preserve">{'allow_type': 'AMI_ID_ON_ACCOUNT', 'allow_value': 'ami-0a30b5b2bb62351ee', 'account_id': '617144884587', 'valid_to': '31-12-2023', 'solicitado_por': set(["Karlo Muente"])}, </v>
      </c>
    </row>
    <row r="34" spans="1:7" x14ac:dyDescent="0.25">
      <c r="A34" t="s">
        <v>99</v>
      </c>
      <c r="B34" t="s">
        <v>46</v>
      </c>
      <c r="C34" s="2">
        <v>896992476122</v>
      </c>
      <c r="D34" s="1" t="s">
        <v>131</v>
      </c>
      <c r="E34" t="s">
        <v>111</v>
      </c>
      <c r="G34" t="str">
        <f t="shared" si="0"/>
        <v xml:space="preserve">{'allow_type': 'AMI_ID_ON_ACCOUNT', 'allow_value': 'ami-0322bb0706e412ee1', 'account_id': '896992476122', 'valid_to': '31-10-2023', 'solicitado_por': set(["Esteban Avendaño"])}, </v>
      </c>
    </row>
    <row r="35" spans="1:7" x14ac:dyDescent="0.25">
      <c r="A35" t="s">
        <v>99</v>
      </c>
      <c r="B35" t="s">
        <v>47</v>
      </c>
      <c r="C35" s="2">
        <v>827114523179</v>
      </c>
      <c r="D35" t="s">
        <v>11</v>
      </c>
      <c r="E35" t="s">
        <v>48</v>
      </c>
      <c r="G35" t="str">
        <f t="shared" si="0"/>
        <v xml:space="preserve">{'allow_type': 'AMI_ID_ON_ACCOUNT', 'allow_value': 'ami-00e4bb7eec56a9b03', 'account_id': '827114523179', 'valid_to': '31-11-2023', 'solicitado_por': set(["Jesica Kauffmann"])}, </v>
      </c>
    </row>
    <row r="36" spans="1:7" x14ac:dyDescent="0.25">
      <c r="A36" t="s">
        <v>99</v>
      </c>
      <c r="B36" t="s">
        <v>49</v>
      </c>
      <c r="C36" s="2">
        <v>92967108488</v>
      </c>
      <c r="D36" s="1" t="s">
        <v>139</v>
      </c>
      <c r="E36" t="s">
        <v>50</v>
      </c>
      <c r="G36" t="str">
        <f t="shared" si="0"/>
        <v xml:space="preserve">{'allow_type': 'AMI_ID_ON_ACCOUNT', 'allow_value': 'ami-0ba630a53c34218bf', 'account_id': '92967108488', 'valid_to': '31-12-2024', 'solicitado_por': set(["Cristopher Herrera"])}, </v>
      </c>
    </row>
    <row r="37" spans="1:7" x14ac:dyDescent="0.25">
      <c r="A37" t="s">
        <v>99</v>
      </c>
      <c r="B37" t="s">
        <v>51</v>
      </c>
      <c r="C37" s="2">
        <v>306591703355</v>
      </c>
      <c r="D37" s="1" t="s">
        <v>134</v>
      </c>
      <c r="E37" t="s">
        <v>52</v>
      </c>
      <c r="G37" t="str">
        <f t="shared" si="0"/>
        <v xml:space="preserve">{'allow_type': 'AMI_ID_ON_ACCOUNT', 'allow_value': 'ami-06882ac4cae70ecb7', 'account_id': '306591703355', 'valid_to': '31-10-2025', 'solicitado_por': set(["Daniel Pereye"])}, </v>
      </c>
    </row>
    <row r="38" spans="1:7" x14ac:dyDescent="0.25">
      <c r="A38" t="s">
        <v>99</v>
      </c>
      <c r="B38" t="s">
        <v>53</v>
      </c>
      <c r="C38" s="2">
        <v>568635850695</v>
      </c>
      <c r="D38" s="1" t="s">
        <v>131</v>
      </c>
      <c r="E38" t="s">
        <v>111</v>
      </c>
      <c r="G38" t="str">
        <f t="shared" si="0"/>
        <v xml:space="preserve">{'allow_type': 'AMI_ID_ON_ACCOUNT', 'allow_value': 'ami-094af4e4691f44b80', 'account_id': '568635850695', 'valid_to': '31-10-2023', 'solicitado_por': set(["Esteban Avendaño"])}, </v>
      </c>
    </row>
    <row r="39" spans="1:7" x14ac:dyDescent="0.25">
      <c r="A39" t="s">
        <v>99</v>
      </c>
      <c r="B39" t="s">
        <v>54</v>
      </c>
      <c r="C39" s="2">
        <v>896992476122</v>
      </c>
      <c r="D39" s="1" t="s">
        <v>131</v>
      </c>
      <c r="E39" t="s">
        <v>111</v>
      </c>
      <c r="G39" t="str">
        <f t="shared" si="0"/>
        <v xml:space="preserve">{'allow_type': 'AMI_ID_ON_ACCOUNT', 'allow_value': 'ami-06ea7729e394412c8', 'account_id': '896992476122', 'valid_to': '31-10-2023', 'solicitado_por': set(["Esteban Avendaño"])}, </v>
      </c>
    </row>
    <row r="40" spans="1:7" x14ac:dyDescent="0.25">
      <c r="A40" t="s">
        <v>99</v>
      </c>
      <c r="B40" t="s">
        <v>55</v>
      </c>
      <c r="C40" s="2">
        <v>568635850695</v>
      </c>
      <c r="D40" s="1" t="s">
        <v>131</v>
      </c>
      <c r="E40" t="s">
        <v>111</v>
      </c>
      <c r="G40" t="str">
        <f t="shared" si="0"/>
        <v xml:space="preserve">{'allow_type': 'AMI_ID_ON_ACCOUNT', 'allow_value': 'ami-036b686b6a5b81b6a', 'account_id': '568635850695', 'valid_to': '31-10-2023', 'solicitado_por': set(["Esteban Avendaño"])}, </v>
      </c>
    </row>
    <row r="41" spans="1:7" x14ac:dyDescent="0.25">
      <c r="A41" t="s">
        <v>99</v>
      </c>
      <c r="B41" t="s">
        <v>56</v>
      </c>
      <c r="C41" s="2">
        <v>515966514790</v>
      </c>
      <c r="D41" s="1" t="s">
        <v>138</v>
      </c>
      <c r="E41" t="s">
        <v>28</v>
      </c>
      <c r="G41" t="str">
        <f t="shared" si="0"/>
        <v xml:space="preserve">{'allow_type': 'AMI_ID_ON_ACCOUNT', 'allow_value': 'ami-0767f1fe1d85e096f', 'account_id': '515966514790', 'valid_to': '31-12-2025', 'solicitado_por': set(["Eduardo Bascunan"])}, </v>
      </c>
    </row>
    <row r="42" spans="1:7" x14ac:dyDescent="0.25">
      <c r="A42" t="s">
        <v>99</v>
      </c>
      <c r="B42" t="s">
        <v>57</v>
      </c>
      <c r="C42" s="2">
        <v>306591703355</v>
      </c>
      <c r="D42" s="1" t="s">
        <v>134</v>
      </c>
      <c r="E42" t="s">
        <v>52</v>
      </c>
      <c r="G42" t="str">
        <f t="shared" si="0"/>
        <v xml:space="preserve">{'allow_type': 'AMI_ID_ON_ACCOUNT', 'allow_value': 'ami-07b8588c2bd1b0f7f', 'account_id': '306591703355', 'valid_to': '31-10-2025', 'solicitado_por': set(["Daniel Pereye"])}, </v>
      </c>
    </row>
    <row r="43" spans="1:7" x14ac:dyDescent="0.25">
      <c r="A43" t="s">
        <v>99</v>
      </c>
      <c r="B43" t="s">
        <v>58</v>
      </c>
      <c r="C43" s="2">
        <v>191690883584</v>
      </c>
      <c r="D43" s="1" t="s">
        <v>140</v>
      </c>
      <c r="E43" t="s">
        <v>59</v>
      </c>
      <c r="G43" t="str">
        <f t="shared" si="0"/>
        <v xml:space="preserve">{'allow_type': 'AMI_ID_ON_ACCOUNT', 'allow_value': 'ami-0e20301660e2ef668', 'account_id': '191690883584', 'valid_to': '08-10-2023', 'solicitado_por': set(["Brian Alderete"])}, </v>
      </c>
    </row>
    <row r="44" spans="1:7" x14ac:dyDescent="0.25">
      <c r="A44" t="s">
        <v>99</v>
      </c>
      <c r="B44" t="s">
        <v>60</v>
      </c>
      <c r="C44" s="2">
        <v>312081525212</v>
      </c>
      <c r="D44" s="1" t="s">
        <v>138</v>
      </c>
      <c r="E44" t="s">
        <v>61</v>
      </c>
      <c r="G44" t="str">
        <f t="shared" si="0"/>
        <v xml:space="preserve">{'allow_type': 'AMI_ID_ON_ACCOUNT', 'allow_value': 'ami-0d6f11cb8c663fd9f', 'account_id': '312081525212', 'valid_to': '31-12-2025', 'solicitado_por': set(["Guillermo Cabrera"])}, </v>
      </c>
    </row>
    <row r="45" spans="1:7" x14ac:dyDescent="0.25">
      <c r="A45" t="s">
        <v>99</v>
      </c>
      <c r="B45" t="s">
        <v>62</v>
      </c>
      <c r="C45" s="2">
        <v>306591703355</v>
      </c>
      <c r="D45" s="1" t="s">
        <v>134</v>
      </c>
      <c r="E45" t="s">
        <v>52</v>
      </c>
      <c r="G45" t="str">
        <f t="shared" si="0"/>
        <v xml:space="preserve">{'allow_type': 'AMI_ID_ON_ACCOUNT', 'allow_value': 'ami-066643102082583ac', 'account_id': '306591703355', 'valid_to': '31-10-2025', 'solicitado_por': set(["Daniel Pereye"])}, </v>
      </c>
    </row>
    <row r="46" spans="1:7" x14ac:dyDescent="0.25">
      <c r="A46" t="s">
        <v>99</v>
      </c>
      <c r="B46" t="s">
        <v>63</v>
      </c>
      <c r="C46" s="2">
        <v>568635850695</v>
      </c>
      <c r="D46" s="1" t="s">
        <v>131</v>
      </c>
      <c r="E46" t="s">
        <v>111</v>
      </c>
      <c r="G46" t="str">
        <f t="shared" si="0"/>
        <v xml:space="preserve">{'allow_type': 'AMI_ID_ON_ACCOUNT', 'allow_value': 'ami-0942f674449a23f2d', 'account_id': '568635850695', 'valid_to': '31-10-2023', 'solicitado_por': set(["Esteban Avendaño"])}, </v>
      </c>
    </row>
    <row r="47" spans="1:7" x14ac:dyDescent="0.25">
      <c r="A47" t="s">
        <v>99</v>
      </c>
      <c r="B47" t="s">
        <v>64</v>
      </c>
      <c r="C47" s="2">
        <v>515966514790</v>
      </c>
      <c r="D47" s="1" t="s">
        <v>141</v>
      </c>
      <c r="E47" t="s">
        <v>61</v>
      </c>
      <c r="G47" t="str">
        <f t="shared" si="0"/>
        <v xml:space="preserve">{'allow_type': 'AMI_ID_ON_ACCOUNT', 'allow_value': 'ami-0b65cafb112e8cc64', 'account_id': '515966514790', 'valid_to': '18-03-2025', 'solicitado_por': set(["Guillermo Cabrera"])}, </v>
      </c>
    </row>
    <row r="48" spans="1:7" x14ac:dyDescent="0.25">
      <c r="A48" t="s">
        <v>99</v>
      </c>
      <c r="B48" t="s">
        <v>65</v>
      </c>
      <c r="C48" s="2">
        <v>568635850695</v>
      </c>
      <c r="D48" s="1" t="s">
        <v>131</v>
      </c>
      <c r="E48" t="s">
        <v>111</v>
      </c>
      <c r="G48" t="str">
        <f t="shared" si="0"/>
        <v xml:space="preserve">{'allow_type': 'AMI_ID_ON_ACCOUNT', 'allow_value': 'ami-03616ca8505e3253b', 'account_id': '568635850695', 'valid_to': '31-10-2023', 'solicitado_por': set(["Esteban Avendaño"])}, </v>
      </c>
    </row>
    <row r="49" spans="1:7" x14ac:dyDescent="0.25">
      <c r="A49" t="s">
        <v>99</v>
      </c>
      <c r="B49" t="s">
        <v>66</v>
      </c>
      <c r="C49" s="2">
        <v>312081525212</v>
      </c>
      <c r="D49" s="1" t="s">
        <v>138</v>
      </c>
      <c r="E49" t="s">
        <v>41</v>
      </c>
      <c r="G49" t="str">
        <f t="shared" si="0"/>
        <v xml:space="preserve">{'allow_type': 'AMI_ID_ON_ACCOUNT', 'allow_value': 'ami-0b235dc28bcf460e9', 'account_id': '312081525212', 'valid_to': '31-12-2025', 'solicitado_por': set(["Maryuris Torres"])}, </v>
      </c>
    </row>
    <row r="50" spans="1:7" x14ac:dyDescent="0.25">
      <c r="A50" t="s">
        <v>99</v>
      </c>
      <c r="B50" t="s">
        <v>67</v>
      </c>
      <c r="C50" s="2">
        <v>803146372671</v>
      </c>
      <c r="D50" s="1" t="s">
        <v>142</v>
      </c>
      <c r="E50" t="s">
        <v>8</v>
      </c>
      <c r="G50" t="str">
        <f t="shared" si="0"/>
        <v xml:space="preserve">{'allow_type': 'AMI_ID_ON_ACCOUNT', 'allow_value': 'ami-0f4c7fdce8c377271', 'account_id': '803146372671', 'valid_to': '20-06-2027', 'solicitado_por': set(["Marcelo Ferrari"])}, </v>
      </c>
    </row>
    <row r="51" spans="1:7" x14ac:dyDescent="0.25">
      <c r="A51" t="s">
        <v>99</v>
      </c>
      <c r="B51" t="s">
        <v>68</v>
      </c>
      <c r="C51" s="2">
        <v>306591703355</v>
      </c>
      <c r="D51" s="1" t="s">
        <v>143</v>
      </c>
      <c r="E51" t="s">
        <v>69</v>
      </c>
      <c r="G51" t="str">
        <f t="shared" si="0"/>
        <v xml:space="preserve">{'allow_type': 'AMI_ID_ON_ACCOUNT', 'allow_value': 'ami-05acb4959a4fc514d', 'account_id': '306591703355', 'valid_to': '28-02-2024', 'solicitado_por': set(["Ezio Tobioli"])}, </v>
      </c>
    </row>
    <row r="52" spans="1:7" x14ac:dyDescent="0.25">
      <c r="A52" t="s">
        <v>99</v>
      </c>
      <c r="B52" t="s">
        <v>70</v>
      </c>
      <c r="C52" s="2">
        <v>312081525212</v>
      </c>
      <c r="D52" s="1" t="s">
        <v>138</v>
      </c>
      <c r="E52" t="s">
        <v>61</v>
      </c>
      <c r="G52" t="str">
        <f t="shared" si="0"/>
        <v xml:space="preserve">{'allow_type': 'AMI_ID_ON_ACCOUNT', 'allow_value': 'ami-0d43d36292c5d6803', 'account_id': '312081525212', 'valid_to': '31-12-2025', 'solicitado_por': set(["Guillermo Cabrera"])}, </v>
      </c>
    </row>
    <row r="53" spans="1:7" x14ac:dyDescent="0.25">
      <c r="A53" t="s">
        <v>99</v>
      </c>
      <c r="B53" t="s">
        <v>71</v>
      </c>
      <c r="C53" s="2" t="s">
        <v>147</v>
      </c>
      <c r="D53" s="1" t="s">
        <v>130</v>
      </c>
      <c r="E53" t="s">
        <v>3</v>
      </c>
      <c r="G53" t="str">
        <f t="shared" si="0"/>
        <v xml:space="preserve">{'allow_type': 'AMI_ID_ON_ACCOUNT', 'allow_value': 'ami-0a8bd732fb0644d51', 'account_id': '78846019676, 617144884587', 'valid_to': '31-12-2023', 'solicitado_por': set(["Karlo Muente"])}, </v>
      </c>
    </row>
    <row r="54" spans="1:7" x14ac:dyDescent="0.25">
      <c r="A54" t="s">
        <v>99</v>
      </c>
      <c r="B54" t="s">
        <v>72</v>
      </c>
      <c r="C54" s="2">
        <v>306591703355</v>
      </c>
      <c r="D54" s="1" t="s">
        <v>134</v>
      </c>
      <c r="E54" t="s">
        <v>52</v>
      </c>
      <c r="G54" t="str">
        <f t="shared" si="0"/>
        <v xml:space="preserve">{'allow_type': 'AMI_ID_ON_ACCOUNT', 'allow_value': 'ami-0e5b8e672547b913e', 'account_id': '306591703355', 'valid_to': '31-10-2025', 'solicitado_por': set(["Daniel Pereye"])}, </v>
      </c>
    </row>
    <row r="55" spans="1:7" x14ac:dyDescent="0.25">
      <c r="A55" t="s">
        <v>99</v>
      </c>
      <c r="B55" t="s">
        <v>73</v>
      </c>
      <c r="C55" s="2">
        <v>896992476122</v>
      </c>
      <c r="D55" s="1" t="s">
        <v>131</v>
      </c>
      <c r="E55" t="s">
        <v>111</v>
      </c>
      <c r="G55" t="str">
        <f t="shared" si="0"/>
        <v xml:space="preserve">{'allow_type': 'AMI_ID_ON_ACCOUNT', 'allow_value': 'ami-01a0784e31840e8aa', 'account_id': '896992476122', 'valid_to': '31-10-2023', 'solicitado_por': set(["Esteban Avendaño"])}, </v>
      </c>
    </row>
    <row r="56" spans="1:7" x14ac:dyDescent="0.25">
      <c r="A56" t="s">
        <v>99</v>
      </c>
      <c r="B56" t="s">
        <v>74</v>
      </c>
      <c r="C56" s="2">
        <v>896992476122</v>
      </c>
      <c r="D56" s="1" t="s">
        <v>144</v>
      </c>
      <c r="E56" t="s">
        <v>111</v>
      </c>
      <c r="G56" t="str">
        <f t="shared" si="0"/>
        <v xml:space="preserve">{'allow_type': 'AMI_ID_ON_ACCOUNT', 'allow_value': 'ami-00e88aff4669ce897', 'account_id': '896992476122', 'valid_to': '30-11-2023', 'solicitado_por': set(["Esteban Avendaño"])}, </v>
      </c>
    </row>
    <row r="57" spans="1:7" x14ac:dyDescent="0.25">
      <c r="A57" t="s">
        <v>99</v>
      </c>
      <c r="B57" t="s">
        <v>75</v>
      </c>
      <c r="C57" s="2">
        <v>568635850695</v>
      </c>
      <c r="D57" s="1" t="s">
        <v>131</v>
      </c>
      <c r="E57" t="s">
        <v>111</v>
      </c>
      <c r="G57" t="str">
        <f t="shared" si="0"/>
        <v xml:space="preserve">{'allow_type': 'AMI_ID_ON_ACCOUNT', 'allow_value': 'ami-0f761966eb7f1d8c6', 'account_id': '568635850695', 'valid_to': '31-10-2023', 'solicitado_por': set(["Esteban Avendaño"])}, </v>
      </c>
    </row>
    <row r="58" spans="1:7" x14ac:dyDescent="0.25">
      <c r="A58" t="s">
        <v>99</v>
      </c>
      <c r="B58" t="s">
        <v>76</v>
      </c>
      <c r="C58" s="2">
        <v>896992476122</v>
      </c>
      <c r="D58" s="1" t="s">
        <v>131</v>
      </c>
      <c r="E58" t="s">
        <v>111</v>
      </c>
      <c r="G58" t="str">
        <f t="shared" si="0"/>
        <v xml:space="preserve">{'allow_type': 'AMI_ID_ON_ACCOUNT', 'allow_value': 'ami-0022f774911c1d690', 'account_id': '896992476122', 'valid_to': '31-10-2023', 'solicitado_por': set(["Esteban Avendaño"])}, </v>
      </c>
    </row>
    <row r="59" spans="1:7" x14ac:dyDescent="0.25">
      <c r="A59" t="s">
        <v>99</v>
      </c>
      <c r="B59" t="s">
        <v>77</v>
      </c>
      <c r="C59" s="2">
        <v>306591703355</v>
      </c>
      <c r="D59" s="1" t="s">
        <v>145</v>
      </c>
      <c r="E59" t="s">
        <v>78</v>
      </c>
      <c r="G59" t="str">
        <f t="shared" si="0"/>
        <v xml:space="preserve">{'allow_type': 'AMI_ID_ON_ACCOUNT', 'allow_value': 'ami-0c26614b7f9d0402c', 'account_id': '306591703355', 'valid_to': '31-03-2024', 'solicitado_por': set(["Lucas Sottil"])}, </v>
      </c>
    </row>
    <row r="60" spans="1:7" x14ac:dyDescent="0.25">
      <c r="A60" t="s">
        <v>99</v>
      </c>
      <c r="B60" t="s">
        <v>79</v>
      </c>
      <c r="C60" s="2">
        <v>306591703355</v>
      </c>
      <c r="D60" s="1" t="s">
        <v>134</v>
      </c>
      <c r="E60" t="s">
        <v>52</v>
      </c>
      <c r="G60" t="str">
        <f t="shared" si="0"/>
        <v xml:space="preserve">{'allow_type': 'AMI_ID_ON_ACCOUNT', 'allow_value': 'ami-0140c344ea05bbd7a', 'account_id': '306591703355', 'valid_to': '31-10-2025', 'solicitado_por': set(["Daniel Pereye"])}, </v>
      </c>
    </row>
    <row r="61" spans="1:7" x14ac:dyDescent="0.25">
      <c r="A61" t="s">
        <v>99</v>
      </c>
      <c r="B61" t="s">
        <v>80</v>
      </c>
      <c r="C61" s="2">
        <v>306591703355</v>
      </c>
      <c r="D61" s="1" t="s">
        <v>134</v>
      </c>
      <c r="E61" t="s">
        <v>52</v>
      </c>
      <c r="G61" t="str">
        <f t="shared" si="0"/>
        <v xml:space="preserve">{'allow_type': 'AMI_ID_ON_ACCOUNT', 'allow_value': 'ami-0a45c8b16782f3406', 'account_id': '306591703355', 'valid_to': '31-10-2025', 'solicitado_por': set(["Daniel Pereye"])}, </v>
      </c>
    </row>
    <row r="62" spans="1:7" x14ac:dyDescent="0.25">
      <c r="A62" t="s">
        <v>99</v>
      </c>
      <c r="B62" t="s">
        <v>81</v>
      </c>
      <c r="C62" s="2">
        <v>568635850695</v>
      </c>
      <c r="D62" s="1" t="s">
        <v>131</v>
      </c>
      <c r="E62" t="s">
        <v>111</v>
      </c>
      <c r="G62" t="str">
        <f t="shared" si="0"/>
        <v xml:space="preserve">{'allow_type': 'AMI_ID_ON_ACCOUNT', 'allow_value': 'ami-0daacb9ad6e15b6da', 'account_id': '568635850695', 'valid_to': '31-10-2023', 'solicitado_por': set(["Esteban Avendaño"])}, </v>
      </c>
    </row>
    <row r="63" spans="1:7" x14ac:dyDescent="0.25">
      <c r="A63" t="s">
        <v>99</v>
      </c>
      <c r="B63" t="s">
        <v>82</v>
      </c>
      <c r="C63" s="2">
        <v>896992476122</v>
      </c>
      <c r="D63" s="1" t="s">
        <v>130</v>
      </c>
      <c r="E63" t="s">
        <v>111</v>
      </c>
      <c r="G63" t="str">
        <f t="shared" si="0"/>
        <v xml:space="preserve">{'allow_type': 'AMI_ID_ON_ACCOUNT', 'allow_value': 'ami-000a89ca6a9025326', 'account_id': '896992476122', 'valid_to': '31-12-2023', 'solicitado_por': set(["Esteban Avendaño"])}, </v>
      </c>
    </row>
    <row r="64" spans="1:7" x14ac:dyDescent="0.25">
      <c r="A64" t="s">
        <v>99</v>
      </c>
      <c r="B64" t="s">
        <v>83</v>
      </c>
      <c r="C64" s="2" t="s">
        <v>149</v>
      </c>
      <c r="D64" s="1" t="s">
        <v>137</v>
      </c>
      <c r="E64" t="s">
        <v>84</v>
      </c>
      <c r="G64" t="str">
        <f t="shared" si="0"/>
        <v xml:space="preserve">{'allow_type': 'AMI_ID_ON_ACCOUNT', 'allow_value': 'ami-0ce7a9f8b0bc70964', 'account_id': '266556556605, 529561489360', 'valid_to': '31-12-2027', 'solicitado_por': set(["Jorge Lopez"])}, </v>
      </c>
    </row>
    <row r="65" spans="1:7" x14ac:dyDescent="0.25">
      <c r="A65" t="s">
        <v>99</v>
      </c>
      <c r="B65" t="s">
        <v>85</v>
      </c>
      <c r="C65" s="2">
        <v>312081525212</v>
      </c>
      <c r="D65" s="1" t="s">
        <v>138</v>
      </c>
      <c r="E65" t="s">
        <v>61</v>
      </c>
      <c r="G65" t="str">
        <f t="shared" si="0"/>
        <v xml:space="preserve">{'allow_type': 'AMI_ID_ON_ACCOUNT', 'allow_value': 'ami-00f5a285286e28f6b', 'account_id': '312081525212', 'valid_to': '31-12-2025', 'solicitado_por': set(["Guillermo Cabrera"])}, </v>
      </c>
    </row>
    <row r="66" spans="1:7" x14ac:dyDescent="0.25">
      <c r="A66" t="s">
        <v>99</v>
      </c>
      <c r="B66" t="s">
        <v>86</v>
      </c>
      <c r="C66" s="2" t="s">
        <v>147</v>
      </c>
      <c r="D66" s="1" t="s">
        <v>130</v>
      </c>
      <c r="E66" t="s">
        <v>3</v>
      </c>
      <c r="G66" t="str">
        <f t="shared" si="0"/>
        <v xml:space="preserve">{'allow_type': 'AMI_ID_ON_ACCOUNT', 'allow_value': 'ami-0e561b612cf7ef667', 'account_id': '78846019676, 617144884587', 'valid_to': '31-12-2023', 'solicitado_por': set(["Karlo Muente"])}, </v>
      </c>
    </row>
    <row r="67" spans="1:7" x14ac:dyDescent="0.25">
      <c r="A67" t="s">
        <v>99</v>
      </c>
      <c r="B67" t="s">
        <v>87</v>
      </c>
      <c r="C67" s="2">
        <v>876846208295</v>
      </c>
      <c r="D67" s="1" t="s">
        <v>146</v>
      </c>
      <c r="E67" t="s">
        <v>8</v>
      </c>
      <c r="G67" t="str">
        <f t="shared" ref="G67:G74" si="1">CONCATENATE("{'allow_type': '", A67, "', 'allow_value': '", B67,"', 'account_id': '", C67,"', 'valid_to': '",D67, "', 'solicitado_por': set(", E67, ")}, ")</f>
        <v xml:space="preserve">{'allow_type': 'AMI_ID_ON_ACCOUNT', 'allow_value': 'ami-0c0f1a2cf4f29f074', 'account_id': '876846208295', 'valid_to': '31-05-2025', 'solicitado_por': set(["Marcelo Ferrari"])}, </v>
      </c>
    </row>
    <row r="68" spans="1:7" x14ac:dyDescent="0.25">
      <c r="A68" t="s">
        <v>99</v>
      </c>
      <c r="B68" t="s">
        <v>88</v>
      </c>
      <c r="C68" s="2" t="s">
        <v>147</v>
      </c>
      <c r="D68" s="1" t="s">
        <v>135</v>
      </c>
      <c r="E68" t="s">
        <v>3</v>
      </c>
      <c r="G68" t="str">
        <f t="shared" si="1"/>
        <v xml:space="preserve">{'allow_type': 'AMI_ID_ON_ACCOUNT', 'allow_value': 'ami-0db8cf80e731b18b6', 'account_id': '78846019676, 617144884587', 'valid_to': '29-02-2024', 'solicitado_por': set(["Karlo Muente"])}, </v>
      </c>
    </row>
    <row r="69" spans="1:7" x14ac:dyDescent="0.25">
      <c r="A69" t="s">
        <v>99</v>
      </c>
      <c r="B69" t="s">
        <v>89</v>
      </c>
      <c r="C69" s="2">
        <v>568635850695</v>
      </c>
      <c r="D69" s="1" t="s">
        <v>131</v>
      </c>
      <c r="E69" t="s">
        <v>111</v>
      </c>
      <c r="G69" t="str">
        <f t="shared" si="1"/>
        <v xml:space="preserve">{'allow_type': 'AMI_ID_ON_ACCOUNT', 'allow_value': 'ami-0b166cfc91898a5d8', 'account_id': '568635850695', 'valid_to': '31-10-2023', 'solicitado_por': set(["Esteban Avendaño"])}, </v>
      </c>
    </row>
    <row r="70" spans="1:7" x14ac:dyDescent="0.25">
      <c r="A70" t="s">
        <v>99</v>
      </c>
      <c r="B70" t="s">
        <v>90</v>
      </c>
      <c r="C70" s="2">
        <v>896992476122</v>
      </c>
      <c r="D70" s="1" t="s">
        <v>131</v>
      </c>
      <c r="E70" t="s">
        <v>111</v>
      </c>
      <c r="G70" t="str">
        <f t="shared" si="1"/>
        <v xml:space="preserve">{'allow_type': 'AMI_ID_ON_ACCOUNT', 'allow_value': 'ami-01331b027e7cb096d', 'account_id': '896992476122', 'valid_to': '31-10-2023', 'solicitado_por': set(["Esteban Avendaño"])}, </v>
      </c>
    </row>
    <row r="71" spans="1:7" x14ac:dyDescent="0.25">
      <c r="A71" t="s">
        <v>99</v>
      </c>
      <c r="B71" t="s">
        <v>91</v>
      </c>
      <c r="C71" s="2">
        <v>306591703355</v>
      </c>
      <c r="D71" s="1" t="s">
        <v>134</v>
      </c>
      <c r="E71" t="s">
        <v>52</v>
      </c>
      <c r="G71" t="str">
        <f t="shared" si="1"/>
        <v xml:space="preserve">{'allow_type': 'AMI_ID_ON_ACCOUNT', 'allow_value': 'ami-024ec52d55b0b6ed3', 'account_id': '306591703355', 'valid_to': '31-10-2025', 'solicitado_por': set(["Daniel Pereye"])}, </v>
      </c>
    </row>
    <row r="72" spans="1:7" x14ac:dyDescent="0.25">
      <c r="A72" t="s">
        <v>99</v>
      </c>
      <c r="B72" t="s">
        <v>92</v>
      </c>
      <c r="C72" s="2">
        <v>568635850695</v>
      </c>
      <c r="D72" s="1" t="s">
        <v>131</v>
      </c>
      <c r="E72" t="s">
        <v>111</v>
      </c>
      <c r="G72" t="str">
        <f t="shared" si="1"/>
        <v xml:space="preserve">{'allow_type': 'AMI_ID_ON_ACCOUNT', 'allow_value': 'ami-00191a0c8c6e354ca', 'account_id': '568635850695', 'valid_to': '31-10-2023', 'solicitado_por': set(["Esteban Avendaño"])}, </v>
      </c>
    </row>
    <row r="73" spans="1:7" x14ac:dyDescent="0.25">
      <c r="A73" t="s">
        <v>99</v>
      </c>
      <c r="B73" t="s">
        <v>93</v>
      </c>
      <c r="C73" s="2" t="s">
        <v>150</v>
      </c>
      <c r="D73" s="1" t="s">
        <v>131</v>
      </c>
      <c r="E73" t="s">
        <v>94</v>
      </c>
      <c r="G73" t="str">
        <f t="shared" si="1"/>
        <v xml:space="preserve">{'allow_type': 'AMI_ID_ON_ACCOUNT', 'allow_value': 'ami-01adddebea11fde48', 'account_id': '181398079618, 320856153816, 733585311476', 'valid_to': '31-10-2023', 'solicitado_por': set(["Erick Castro"])}, </v>
      </c>
    </row>
    <row r="74" spans="1:7" x14ac:dyDescent="0.25">
      <c r="A74" t="s">
        <v>99</v>
      </c>
      <c r="B74" t="s">
        <v>95</v>
      </c>
      <c r="C74" s="2">
        <v>896992476122</v>
      </c>
      <c r="D74" s="1" t="s">
        <v>131</v>
      </c>
      <c r="E74" t="s">
        <v>111</v>
      </c>
      <c r="G74" t="str">
        <f t="shared" si="1"/>
        <v xml:space="preserve">{'allow_type': 'AMI_ID_ON_ACCOUNT', 'allow_value': 'ami-0c3fdd8fc2489df20', 'account_id': '896992476122', 'valid_to': '31-10-2023', 'solicitado_por': set(["Esteban Avendaño"])}, </v>
      </c>
    </row>
    <row r="75" spans="1:7" x14ac:dyDescent="0.25">
      <c r="A75" t="s">
        <v>100</v>
      </c>
      <c r="B75" t="s">
        <v>101</v>
      </c>
      <c r="G75" t="str">
        <f>CONCATENATE("{'allow_type': '", A75, "', 'allow_value': '", B75,"'}, ")</f>
        <v xml:space="preserve">{'allow_type': 'AMI_ID', 'allow_value': 'ami-0277155c3f0ab2930'}, </v>
      </c>
    </row>
    <row r="76" spans="1:7" x14ac:dyDescent="0.25">
      <c r="A76" t="s">
        <v>100</v>
      </c>
      <c r="B76" t="s">
        <v>102</v>
      </c>
      <c r="G76" t="str">
        <f t="shared" ref="G76:G100" si="2">CONCATENATE("{'allow_type': '", A76, "', 'allow_value': '", B76,"'}, ")</f>
        <v xml:space="preserve">{'allow_type': 'AMI_ID', 'allow_value': 'ami-053dd242e624a94df'}, </v>
      </c>
    </row>
    <row r="77" spans="1:7" x14ac:dyDescent="0.25">
      <c r="A77" t="s">
        <v>100</v>
      </c>
      <c r="B77" t="s">
        <v>103</v>
      </c>
      <c r="G77" t="str">
        <f t="shared" si="2"/>
        <v xml:space="preserve">{'allow_type': 'AMI_ID', 'allow_value': 'ami-0f254779aa527b26a'}, </v>
      </c>
    </row>
    <row r="78" spans="1:7" x14ac:dyDescent="0.25">
      <c r="A78" t="s">
        <v>100</v>
      </c>
      <c r="B78" t="s">
        <v>104</v>
      </c>
      <c r="G78" t="str">
        <f t="shared" si="2"/>
        <v xml:space="preserve">{'allow_type': 'AMI_ID', 'allow_value': 'ami-0080755d0dbfe6cc0'}, </v>
      </c>
    </row>
    <row r="79" spans="1:7" x14ac:dyDescent="0.25">
      <c r="A79" t="s">
        <v>100</v>
      </c>
      <c r="B79" t="s">
        <v>105</v>
      </c>
      <c r="G79" t="str">
        <f t="shared" si="2"/>
        <v xml:space="preserve">{'allow_type': 'AMI_ID', 'allow_value': 'ami-0455b890935eb8e07'}, </v>
      </c>
    </row>
    <row r="80" spans="1:7" x14ac:dyDescent="0.25">
      <c r="A80" t="s">
        <v>100</v>
      </c>
      <c r="B80" t="s">
        <v>106</v>
      </c>
      <c r="G80" t="str">
        <f t="shared" si="2"/>
        <v xml:space="preserve">{'allow_type': 'AMI_ID', 'allow_value': 'ami-0d31c3b08c4f591b6'}, </v>
      </c>
    </row>
    <row r="81" spans="1:7" x14ac:dyDescent="0.25">
      <c r="A81" t="s">
        <v>100</v>
      </c>
      <c r="B81" t="s">
        <v>107</v>
      </c>
      <c r="G81" t="str">
        <f t="shared" si="2"/>
        <v xml:space="preserve">{'allow_type': 'AMI_ID', 'allow_value': 'ami-07da26e39622a03dc'}, </v>
      </c>
    </row>
    <row r="82" spans="1:7" x14ac:dyDescent="0.25">
      <c r="A82" t="s">
        <v>100</v>
      </c>
      <c r="B82" t="s">
        <v>108</v>
      </c>
      <c r="G82" t="str">
        <f t="shared" si="2"/>
        <v xml:space="preserve">{'allow_type': 'AMI_ID', 'allow_value': 'ami-098616968d61e549e'}, </v>
      </c>
    </row>
    <row r="83" spans="1:7" x14ac:dyDescent="0.25">
      <c r="A83" t="s">
        <v>100</v>
      </c>
      <c r="B83" t="s">
        <v>109</v>
      </c>
      <c r="G83" t="str">
        <f t="shared" si="2"/>
        <v xml:space="preserve">{'allow_type': 'AMI_ID', 'allow_value': 'ami-0f06fc190dd71269e'}, </v>
      </c>
    </row>
    <row r="84" spans="1:7" x14ac:dyDescent="0.25">
      <c r="A84" t="s">
        <v>100</v>
      </c>
      <c r="B84" t="s">
        <v>110</v>
      </c>
      <c r="G84" t="str">
        <f t="shared" si="2"/>
        <v xml:space="preserve">{'allow_type': 'AMI_ID', 'allow_value': 'ami-06f8bb8d389c13987'}, </v>
      </c>
    </row>
    <row r="85" spans="1:7" x14ac:dyDescent="0.25">
      <c r="A85" t="s">
        <v>100</v>
      </c>
      <c r="B85" t="s">
        <v>26</v>
      </c>
      <c r="G85" t="str">
        <f t="shared" si="2"/>
        <v xml:space="preserve">{'allow_type': 'AMI_ID', 'allow_value': 'ami-04ca506a7c77457bd'}, </v>
      </c>
    </row>
    <row r="86" spans="1:7" x14ac:dyDescent="0.25">
      <c r="A86" t="s">
        <v>119</v>
      </c>
      <c r="B86" t="s">
        <v>112</v>
      </c>
      <c r="G86" t="str">
        <f t="shared" si="2"/>
        <v xml:space="preserve">{'allow_type': 'PREFIX', 'allow_value': 'AwsBackup_'}, </v>
      </c>
    </row>
    <row r="87" spans="1:7" x14ac:dyDescent="0.25">
      <c r="A87" t="s">
        <v>119</v>
      </c>
      <c r="B87" t="s">
        <v>113</v>
      </c>
      <c r="G87" t="str">
        <f t="shared" si="2"/>
        <v xml:space="preserve">{'allow_type': 'PREFIX', 'allow_value': 'Cencosud_oficial_'}, </v>
      </c>
    </row>
    <row r="88" spans="1:7" x14ac:dyDescent="0.25">
      <c r="A88" t="s">
        <v>119</v>
      </c>
      <c r="B88" t="s">
        <v>114</v>
      </c>
      <c r="G88" t="str">
        <f t="shared" si="2"/>
        <v xml:space="preserve">{'allow_type': 'PREFIX', 'allow_value': 'amazon-eks-node-1.2'}, </v>
      </c>
    </row>
    <row r="89" spans="1:7" x14ac:dyDescent="0.25">
      <c r="A89" t="s">
        <v>119</v>
      </c>
      <c r="B89" t="s">
        <v>115</v>
      </c>
      <c r="G89" t="str">
        <f t="shared" si="2"/>
        <v xml:space="preserve">{'allow_type': 'PREFIX', 'allow_value': 'bottlerocket-aws-k8s-1.25'}, </v>
      </c>
    </row>
    <row r="90" spans="1:7" x14ac:dyDescent="0.25">
      <c r="A90" t="s">
        <v>119</v>
      </c>
      <c r="B90" t="s">
        <v>116</v>
      </c>
      <c r="G90" t="str">
        <f t="shared" si="2"/>
        <v xml:space="preserve">{'allow_type': 'PREFIX', 'allow_value': 'bottlerocket-aws-k8s-1.26'}, </v>
      </c>
    </row>
    <row r="91" spans="1:7" x14ac:dyDescent="0.25">
      <c r="A91" t="s">
        <v>119</v>
      </c>
      <c r="B91" t="s">
        <v>117</v>
      </c>
      <c r="G91" t="str">
        <f t="shared" si="2"/>
        <v xml:space="preserve">{'allow_type': 'PREFIX', 'allow_value': 'bottlerocket-aws-k8s-1.27'}, </v>
      </c>
    </row>
    <row r="92" spans="1:7" x14ac:dyDescent="0.25">
      <c r="A92" t="s">
        <v>119</v>
      </c>
      <c r="B92" t="s">
        <v>118</v>
      </c>
      <c r="G92" t="str">
        <f t="shared" si="2"/>
        <v xml:space="preserve">{'allow_type': 'PREFIX', 'allow_value': 'bottlerocket-aws-k8s-1'}, </v>
      </c>
    </row>
    <row r="93" spans="1:7" x14ac:dyDescent="0.25">
      <c r="A93" t="s">
        <v>125</v>
      </c>
      <c r="B93" t="s">
        <v>120</v>
      </c>
      <c r="G93" t="str">
        <f t="shared" si="2"/>
        <v xml:space="preserve">{'allow_type': 'TAG', 'allow_value': 'AWSApplicationMigrationServiceManaged'}, </v>
      </c>
    </row>
    <row r="94" spans="1:7" x14ac:dyDescent="0.25">
      <c r="A94" t="s">
        <v>125</v>
      </c>
      <c r="B94" t="s">
        <v>121</v>
      </c>
      <c r="G94" t="str">
        <f t="shared" si="2"/>
        <v xml:space="preserve">{'allow_type': 'TAG', 'allow_value': 'aws:elasticmapreduce:job-flow-id'}, </v>
      </c>
    </row>
    <row r="95" spans="1:7" x14ac:dyDescent="0.25">
      <c r="A95" t="s">
        <v>125</v>
      </c>
      <c r="B95" t="s">
        <v>122</v>
      </c>
      <c r="G95" t="str">
        <f t="shared" si="2"/>
        <v xml:space="preserve">{'allow_type': 'TAG', 'allow_value': 'elasticbeanstalk:environment-id'}, </v>
      </c>
    </row>
    <row r="96" spans="1:7" x14ac:dyDescent="0.25">
      <c r="A96" t="s">
        <v>125</v>
      </c>
      <c r="B96" t="s">
        <v>123</v>
      </c>
      <c r="G96" t="str">
        <f t="shared" si="2"/>
        <v xml:space="preserve">{'allow_type': 'TAG', 'allow_value': 'aws:ec2launchtemplate:version'}, </v>
      </c>
    </row>
    <row r="97" spans="1:7" x14ac:dyDescent="0.25">
      <c r="A97" t="s">
        <v>125</v>
      </c>
      <c r="B97" t="s">
        <v>124</v>
      </c>
      <c r="G97" t="str">
        <f t="shared" si="2"/>
        <v xml:space="preserve">{'allow_type': 'TAG', 'allow_value': 'aws:cloud9:environment'}, </v>
      </c>
    </row>
    <row r="98" spans="1:7" x14ac:dyDescent="0.25">
      <c r="A98" t="s">
        <v>129</v>
      </c>
      <c r="B98" t="s">
        <v>126</v>
      </c>
      <c r="G98" t="str">
        <f t="shared" si="2"/>
        <v xml:space="preserve">{'allow_type': 'ROLE', 'allow_value': 'imagebuilder-role-adm'}, </v>
      </c>
    </row>
    <row r="99" spans="1:7" x14ac:dyDescent="0.25">
      <c r="A99" t="s">
        <v>129</v>
      </c>
      <c r="B99" t="s">
        <v>127</v>
      </c>
      <c r="G99" t="str">
        <f t="shared" si="2"/>
        <v xml:space="preserve">{'allow_type': 'ROLE', 'allow_value': 'AWSElasticDisasterRecoveryConversionServerRole'}, </v>
      </c>
    </row>
    <row r="100" spans="1:7" x14ac:dyDescent="0.25">
      <c r="A100" t="s">
        <v>129</v>
      </c>
      <c r="B100" t="s">
        <v>128</v>
      </c>
      <c r="G100" t="str">
        <f t="shared" si="2"/>
        <v xml:space="preserve">{'allow_type': 'ROLE', 'allow_value': 'AWSElasticDisasterRecoveryReplicationServerRole'}, 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Registros Control AMI actual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</dc:creator>
  <cp:lastModifiedBy>Miguel Ortega</cp:lastModifiedBy>
  <dcterms:created xsi:type="dcterms:W3CDTF">2025-10-08T02:03:23Z</dcterms:created>
  <dcterms:modified xsi:type="dcterms:W3CDTF">2025-10-08T20:22:42Z</dcterms:modified>
</cp:coreProperties>
</file>